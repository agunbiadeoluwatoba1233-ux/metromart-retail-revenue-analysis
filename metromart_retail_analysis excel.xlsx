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dd943ea3d99845/Documents/"/>
    </mc:Choice>
  </mc:AlternateContent>
  <xr:revisionPtr revIDLastSave="0" documentId="8_{FD740F15-6FAF-475D-B904-F5A1EE0CF887}" xr6:coauthVersionLast="47" xr6:coauthVersionMax="47" xr10:uidLastSave="{00000000-0000-0000-0000-000000000000}"/>
  <bookViews>
    <workbookView xWindow="-110" yWindow="-110" windowWidth="19420" windowHeight="10300" activeTab="1" xr2:uid="{91A80239-6793-4AD8-B8ED-8C4B88D59A03}"/>
  </bookViews>
  <sheets>
    <sheet name="Sheet2" sheetId="2" r:id="rId1"/>
    <sheet name="Sheet1" sheetId="1" r:id="rId2"/>
  </sheets>
  <definedNames>
    <definedName name="_xlnm._FilterDatabase" localSheetId="1" hidden="1">Sheet1!$K$8:$N$8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9" i="1" l="1"/>
  <c r="O8" i="1"/>
  <c r="L5" i="1"/>
  <c r="L4" i="1"/>
  <c r="L3" i="1"/>
  <c r="L2" i="1"/>
</calcChain>
</file>

<file path=xl/sharedStrings.xml><?xml version="1.0" encoding="utf-8"?>
<sst xmlns="http://schemas.openxmlformats.org/spreadsheetml/2006/main" count="43" uniqueCount="27">
  <si>
    <t>TransactionID</t>
  </si>
  <si>
    <t>Date</t>
  </si>
  <si>
    <t>Category</t>
  </si>
  <si>
    <t>PaymentMethod</t>
  </si>
  <si>
    <t>UnitsSold</t>
  </si>
  <si>
    <t>UnitPrice</t>
  </si>
  <si>
    <t>Discount</t>
  </si>
  <si>
    <t>TotalRevenue</t>
  </si>
  <si>
    <t>Profit</t>
  </si>
  <si>
    <t>Electronics</t>
  </si>
  <si>
    <t>Credit Card</t>
  </si>
  <si>
    <t>Home &amp; Kitchen</t>
  </si>
  <si>
    <t>Cash</t>
  </si>
  <si>
    <t>Apparel</t>
  </si>
  <si>
    <t>Bank Transfer</t>
  </si>
  <si>
    <t>Mobile Money</t>
  </si>
  <si>
    <t>Groceries</t>
  </si>
  <si>
    <t>Total Revenue</t>
  </si>
  <si>
    <t>Total Profit</t>
  </si>
  <si>
    <t>Average Order Value</t>
  </si>
  <si>
    <t>Profit Margin</t>
  </si>
  <si>
    <t>How much revenue came strictly from electronic</t>
  </si>
  <si>
    <t>how many transactions were completed using "cash"</t>
  </si>
  <si>
    <t>Row Labels</t>
  </si>
  <si>
    <t>Grand Total</t>
  </si>
  <si>
    <t>Sum of TotalRevenue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</si>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</sst>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₦&quot;* #,##0.00_-;\-&quot;₦&quot;* #,##0.00_-;_-&quot;₦&quot;* &quot;-&quot;??_-;_-@_-"/>
    <numFmt numFmtId="164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222222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vertical="center" wrapText="1"/>
    </xf>
    <xf numFmtId="14" fontId="0" fillId="0" borderId="0" xfId="0" applyNumberFormat="1"/>
    <xf numFmtId="0" fontId="3" fillId="2" borderId="0" xfId="0" applyFont="1" applyFill="1"/>
    <xf numFmtId="0" fontId="4" fillId="2" borderId="0" xfId="0" applyFont="1" applyFill="1"/>
    <xf numFmtId="0" fontId="0" fillId="0" borderId="1" xfId="0" applyBorder="1"/>
    <xf numFmtId="0" fontId="0" fillId="0" borderId="3" xfId="0" applyBorder="1"/>
    <xf numFmtId="0" fontId="0" fillId="0" borderId="5" xfId="0" applyBorder="1"/>
    <xf numFmtId="10" fontId="0" fillId="0" borderId="6" xfId="2" applyNumberFormat="1" applyFont="1" applyFill="1" applyBorder="1"/>
    <xf numFmtId="164" fontId="0" fillId="0" borderId="2" xfId="0" applyNumberFormat="1" applyBorder="1"/>
    <xf numFmtId="164" fontId="0" fillId="0" borderId="4" xfId="0" applyNumberFormat="1" applyBorder="1"/>
    <xf numFmtId="164" fontId="0" fillId="0" borderId="0" xfId="0" applyNumberFormat="1"/>
    <xf numFmtId="9" fontId="0" fillId="0" borderId="0" xfId="2" applyFont="1"/>
    <xf numFmtId="164" fontId="2" fillId="0" borderId="2" xfId="1" applyNumberFormat="1" applyFont="1" applyBorder="1"/>
    <xf numFmtId="0" fontId="2" fillId="0" borderId="6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5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7" xfId="0" applyFont="1" applyBorder="1" applyProtection="1">
      <protection locked="0"/>
    </xf>
  </cellXfs>
  <cellStyles count="3">
    <cellStyle name="Currency" xfId="1" builtinId="4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7.804319907409" createdVersion="7" refreshedVersion="7" minRefreshableVersion="3" recordCount="10" xr:uid="{D5D6D1C6-DF4E-4DDE-A61F-B56D844BBEE6}">
  <cacheSource type="worksheet">
    <worksheetSource ref="A1:I11" sheet="Sheet1"/>
  </cacheSource>
  <cacheFields count="9">
    <cacheField name="TransactionID" numFmtId="0">
      <sharedItems containsSemiMixedTypes="0" containsString="0" containsNumber="1" containsInteger="1" minValue="101" maxValue="110"/>
    </cacheField>
    <cacheField name="Date" numFmtId="14">
      <sharedItems containsSemiMixedTypes="0" containsNonDate="0" containsDate="1" containsString="0" minDate="2026-01-05T00:00:00" maxDate="2026-01-26T00:00:00"/>
    </cacheField>
    <cacheField name="Category" numFmtId="0">
      <sharedItems count="4">
        <s v="Electronics"/>
        <s v="Home &amp; Kitchen"/>
        <s v="Apparel"/>
        <s v="Groceries"/>
      </sharedItems>
    </cacheField>
    <cacheField name="PaymentMethod" numFmtId="0">
      <sharedItems/>
    </cacheField>
    <cacheField name="UnitsSold" numFmtId="0">
      <sharedItems containsSemiMixedTypes="0" containsString="0" containsNumber="1" containsInteger="1" minValue="1" maxValue="10"/>
    </cacheField>
    <cacheField name="UnitPrice" numFmtId="164">
      <sharedItems containsSemiMixedTypes="0" containsString="0" containsNumber="1" minValue="8.5" maxValue="500"/>
    </cacheField>
    <cacheField name="Discount" numFmtId="9">
      <sharedItems containsSemiMixedTypes="0" containsString="0" containsNumber="1" minValue="0" maxValue="0.2"/>
    </cacheField>
    <cacheField name="TotalRevenue" numFmtId="164">
      <sharedItems containsSemiMixedTypes="0" containsString="0" containsNumber="1" minValue="45" maxValue="450"/>
    </cacheField>
    <cacheField name="Profit" numFmtId="164">
      <sharedItems containsSemiMixedTypes="0" containsString="0" containsNumber="1" minValue="11.2" maxValue="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d v="2026-01-05T00:00:00"/>
    <x v="0"/>
    <s v="Credit Card"/>
    <n v="2"/>
    <n v="120"/>
    <n v="0.1"/>
    <n v="216"/>
    <n v="45"/>
  </r>
  <r>
    <n v="102"/>
    <d v="2026-01-06T00:00:00"/>
    <x v="1"/>
    <s v="Cash"/>
    <n v="1"/>
    <n v="45"/>
    <n v="0"/>
    <n v="45"/>
    <n v="12.5"/>
  </r>
  <r>
    <n v="103"/>
    <d v="2026-01-08T00:00:00"/>
    <x v="2"/>
    <s v="Bank Transfer"/>
    <n v="4"/>
    <n v="25"/>
    <n v="0.15"/>
    <n v="85"/>
    <n v="20"/>
  </r>
  <r>
    <n v="104"/>
    <d v="2026-01-10T00:00:00"/>
    <x v="0"/>
    <s v="Credit Card"/>
    <n v="1"/>
    <n v="350"/>
    <n v="0.05"/>
    <n v="332.5"/>
    <n v="80"/>
  </r>
  <r>
    <n v="105"/>
    <d v="2026-01-12T00:00:00"/>
    <x v="1"/>
    <s v="Mobile Money"/>
    <n v="3"/>
    <n v="30"/>
    <n v="0"/>
    <n v="90"/>
    <n v="28"/>
  </r>
  <r>
    <n v="106"/>
    <d v="2026-01-15T00:00:00"/>
    <x v="2"/>
    <s v="Cash"/>
    <n v="2"/>
    <n v="60"/>
    <n v="0.2"/>
    <n v="96"/>
    <n v="18"/>
  </r>
  <r>
    <n v="107"/>
    <d v="2026-01-18T00:00:00"/>
    <x v="0"/>
    <s v="Bank Transfer"/>
    <n v="1"/>
    <n v="500"/>
    <n v="0.1"/>
    <n v="450"/>
    <n v="110"/>
  </r>
  <r>
    <n v="108"/>
    <d v="2026-01-20T00:00:00"/>
    <x v="3"/>
    <s v="Mobile Money"/>
    <n v="10"/>
    <n v="8.5"/>
    <n v="0"/>
    <n v="85"/>
    <n v="15"/>
  </r>
  <r>
    <n v="109"/>
    <d v="2026-01-22T00:00:00"/>
    <x v="3"/>
    <s v="Cash"/>
    <n v="6"/>
    <n v="12"/>
    <n v="0.05"/>
    <n v="68.400000000000006"/>
    <n v="11.2"/>
  </r>
  <r>
    <n v="110"/>
    <d v="2026-01-25T00:00:00"/>
    <x v="2"/>
    <s v="Credit Card"/>
    <n v="3"/>
    <n v="40"/>
    <n v="0.1"/>
    <n v="108"/>
    <n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5A80E-0025-489D-9E01-4787CF48A135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8" firstHeaderRow="0" firstDataRow="1" firstDataCol="1"/>
  <pivotFields count="9">
    <pivotField showAll="0"/>
    <pivotField numFmtId="14"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numFmtId="164" showAll="0"/>
    <pivotField numFmtId="9" showAll="0"/>
    <pivotField dataField="1" numFmtId="164" showAll="0"/>
    <pivotField dataField="1" numFmtId="16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8" baseField="0" baseItem="0"/>
    <dataField name="Sum of Total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226E-20C5-4AD6-ABAC-6A838CB56971}">
  <dimension ref="A3:C8"/>
  <sheetViews>
    <sheetView workbookViewId="0">
      <selection activeCell="A4" sqref="A4:A7"/>
      <pivotSelection pane="bottomRight" showHeader="1" activeRow="3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4.5" x14ac:dyDescent="0.35"/>
  <cols>
    <col min="1" max="1" width="14.26953125" bestFit="1" customWidth="1"/>
    <col min="2" max="2" width="11.81640625" bestFit="1" customWidth="1"/>
    <col min="3" max="3" width="18.7265625" bestFit="1" customWidth="1"/>
  </cols>
  <sheetData>
    <row r="3" spans="1:3" x14ac:dyDescent="0.35">
      <c r="A3" s="15" t="s">
        <v>23</v>
      </c>
      <c r="B3" t="s">
        <v>26</v>
      </c>
      <c r="C3" t="s">
        <v>25</v>
      </c>
    </row>
    <row r="4" spans="1:3" x14ac:dyDescent="0.35">
      <c r="A4" s="16" t="s">
        <v>13</v>
      </c>
      <c r="B4">
        <v>64</v>
      </c>
      <c r="C4">
        <v>289</v>
      </c>
    </row>
    <row r="5" spans="1:3" x14ac:dyDescent="0.35">
      <c r="A5" s="16" t="s">
        <v>9</v>
      </c>
      <c r="B5">
        <v>235</v>
      </c>
      <c r="C5">
        <v>998.5</v>
      </c>
    </row>
    <row r="6" spans="1:3" x14ac:dyDescent="0.35">
      <c r="A6" s="16" t="s">
        <v>16</v>
      </c>
      <c r="B6">
        <v>26.2</v>
      </c>
      <c r="C6">
        <v>153.4</v>
      </c>
    </row>
    <row r="7" spans="1:3" x14ac:dyDescent="0.35">
      <c r="A7" s="16" t="s">
        <v>11</v>
      </c>
      <c r="B7">
        <v>40.5</v>
      </c>
      <c r="C7">
        <v>135</v>
      </c>
    </row>
    <row r="8" spans="1:3" x14ac:dyDescent="0.35">
      <c r="A8" s="16" t="s">
        <v>24</v>
      </c>
      <c r="B8">
        <v>365.7</v>
      </c>
      <c r="C8">
        <v>1575.9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143A-A907-47F3-B0F5-82544D069695}">
  <dimension ref="A1:O11"/>
  <sheetViews>
    <sheetView tabSelected="1" workbookViewId="0">
      <selection activeCell="K12" sqref="K12"/>
    </sheetView>
  </sheetViews>
  <sheetFormatPr defaultRowHeight="14.5" x14ac:dyDescent="0.35"/>
  <cols>
    <col min="1" max="1" width="8.36328125" customWidth="1"/>
    <col min="2" max="2" width="10.453125" bestFit="1" customWidth="1"/>
    <col min="3" max="3" width="14.26953125" bestFit="1" customWidth="1"/>
    <col min="4" max="4" width="14.81640625" bestFit="1" customWidth="1"/>
    <col min="8" max="8" width="12.1796875" bestFit="1" customWidth="1"/>
    <col min="11" max="11" width="18.1796875" bestFit="1" customWidth="1"/>
    <col min="12" max="12" width="9.90625" bestFit="1" customWidth="1"/>
    <col min="15" max="15" width="8.90625" bestFit="1" customWidth="1"/>
  </cols>
  <sheetData>
    <row r="1" spans="1:15" ht="16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5" ht="15.5" customHeight="1" x14ac:dyDescent="0.35">
      <c r="A2" s="1">
        <v>101</v>
      </c>
      <c r="B2" s="2">
        <v>46027</v>
      </c>
      <c r="C2" t="s">
        <v>9</v>
      </c>
      <c r="D2" t="s">
        <v>10</v>
      </c>
      <c r="E2">
        <v>2</v>
      </c>
      <c r="F2" s="11">
        <v>120</v>
      </c>
      <c r="G2" s="12">
        <v>0.1</v>
      </c>
      <c r="H2" s="11">
        <v>216</v>
      </c>
      <c r="I2" s="11">
        <v>45</v>
      </c>
      <c r="K2" s="5" t="s">
        <v>17</v>
      </c>
      <c r="L2" s="9">
        <f>SUM(H:H)</f>
        <v>1575.9</v>
      </c>
    </row>
    <row r="3" spans="1:15" ht="15" customHeight="1" x14ac:dyDescent="0.35">
      <c r="A3" s="1">
        <v>102</v>
      </c>
      <c r="B3" s="2">
        <v>46028</v>
      </c>
      <c r="C3" t="s">
        <v>11</v>
      </c>
      <c r="D3" t="s">
        <v>12</v>
      </c>
      <c r="E3">
        <v>1</v>
      </c>
      <c r="F3" s="11">
        <v>45</v>
      </c>
      <c r="G3" s="12">
        <v>0</v>
      </c>
      <c r="H3" s="11">
        <v>45</v>
      </c>
      <c r="I3" s="11">
        <v>12.5</v>
      </c>
      <c r="K3" s="6" t="s">
        <v>18</v>
      </c>
      <c r="L3" s="10">
        <f>SUM(I:I)</f>
        <v>365.7</v>
      </c>
    </row>
    <row r="4" spans="1:15" ht="19.5" customHeight="1" x14ac:dyDescent="0.35">
      <c r="A4" s="1">
        <v>103</v>
      </c>
      <c r="B4" s="2">
        <v>46030</v>
      </c>
      <c r="C4" t="s">
        <v>13</v>
      </c>
      <c r="D4" t="s">
        <v>14</v>
      </c>
      <c r="E4">
        <v>4</v>
      </c>
      <c r="F4" s="11">
        <v>25</v>
      </c>
      <c r="G4" s="12">
        <v>0.15</v>
      </c>
      <c r="H4" s="11">
        <v>85</v>
      </c>
      <c r="I4" s="11">
        <v>20</v>
      </c>
      <c r="K4" s="6" t="s">
        <v>19</v>
      </c>
      <c r="L4" s="10">
        <f>AVERAGE(H:H)</f>
        <v>157.59</v>
      </c>
    </row>
    <row r="5" spans="1:15" ht="17" customHeight="1" thickBot="1" x14ac:dyDescent="0.4">
      <c r="A5" s="1">
        <v>104</v>
      </c>
      <c r="B5" s="2">
        <v>46032</v>
      </c>
      <c r="C5" t="s">
        <v>9</v>
      </c>
      <c r="D5" t="s">
        <v>10</v>
      </c>
      <c r="E5">
        <v>1</v>
      </c>
      <c r="F5" s="11">
        <v>350</v>
      </c>
      <c r="G5" s="12">
        <v>0.05</v>
      </c>
      <c r="H5" s="11">
        <v>332.5</v>
      </c>
      <c r="I5" s="11">
        <v>80</v>
      </c>
      <c r="K5" s="7" t="s">
        <v>20</v>
      </c>
      <c r="L5" s="8">
        <f>L3/L2</f>
        <v>0.23205787169236625</v>
      </c>
    </row>
    <row r="6" spans="1:15" ht="19" customHeight="1" x14ac:dyDescent="0.35">
      <c r="A6" s="1">
        <v>105</v>
      </c>
      <c r="B6" s="2">
        <v>46034</v>
      </c>
      <c r="C6" t="s">
        <v>11</v>
      </c>
      <c r="D6" t="s">
        <v>15</v>
      </c>
      <c r="E6">
        <v>3</v>
      </c>
      <c r="F6" s="11">
        <v>30</v>
      </c>
      <c r="G6" s="12">
        <v>0</v>
      </c>
      <c r="H6" s="11">
        <v>90</v>
      </c>
      <c r="I6" s="11">
        <v>28</v>
      </c>
    </row>
    <row r="7" spans="1:15" ht="18" customHeight="1" thickBot="1" x14ac:dyDescent="0.4">
      <c r="A7" s="1">
        <v>106</v>
      </c>
      <c r="B7" s="2">
        <v>46037</v>
      </c>
      <c r="C7" t="s">
        <v>13</v>
      </c>
      <c r="D7" t="s">
        <v>12</v>
      </c>
      <c r="E7">
        <v>2</v>
      </c>
      <c r="F7" s="11">
        <v>60</v>
      </c>
      <c r="G7" s="12">
        <v>0.2</v>
      </c>
      <c r="H7" s="11">
        <v>96</v>
      </c>
      <c r="I7" s="11">
        <v>18</v>
      </c>
    </row>
    <row r="8" spans="1:15" ht="24.5" customHeight="1" x14ac:dyDescent="0.35">
      <c r="A8" s="1">
        <v>107</v>
      </c>
      <c r="B8" s="2">
        <v>46040</v>
      </c>
      <c r="C8" t="s">
        <v>9</v>
      </c>
      <c r="D8" t="s">
        <v>14</v>
      </c>
      <c r="E8">
        <v>1</v>
      </c>
      <c r="F8" s="11">
        <v>500</v>
      </c>
      <c r="G8" s="12">
        <v>0.1</v>
      </c>
      <c r="H8" s="11">
        <v>450</v>
      </c>
      <c r="I8" s="11">
        <v>110</v>
      </c>
      <c r="K8" s="19" t="s">
        <v>21</v>
      </c>
      <c r="L8" s="20"/>
      <c r="M8" s="20"/>
      <c r="N8" s="20"/>
      <c r="O8" s="13">
        <f>SUMIF(C:C,"electronics",H:H)</f>
        <v>998.5</v>
      </c>
    </row>
    <row r="9" spans="1:15" ht="20.5" customHeight="1" thickBot="1" x14ac:dyDescent="0.4">
      <c r="A9" s="1">
        <v>108</v>
      </c>
      <c r="B9" s="2">
        <v>46042</v>
      </c>
      <c r="C9" t="s">
        <v>16</v>
      </c>
      <c r="D9" t="s">
        <v>15</v>
      </c>
      <c r="E9">
        <v>10</v>
      </c>
      <c r="F9" s="11">
        <v>8.5</v>
      </c>
      <c r="G9" s="12">
        <v>0</v>
      </c>
      <c r="H9" s="11">
        <v>85</v>
      </c>
      <c r="I9" s="11">
        <v>15</v>
      </c>
      <c r="K9" s="17" t="s">
        <v>22</v>
      </c>
      <c r="L9" s="18"/>
      <c r="M9" s="18"/>
      <c r="N9" s="18"/>
      <c r="O9" s="14">
        <f>COUNTIF(D:D,"cash")</f>
        <v>3</v>
      </c>
    </row>
    <row r="10" spans="1:15" ht="23.5" customHeight="1" x14ac:dyDescent="0.35">
      <c r="A10" s="1">
        <v>109</v>
      </c>
      <c r="B10" s="2">
        <v>46044</v>
      </c>
      <c r="C10" t="s">
        <v>16</v>
      </c>
      <c r="D10" t="s">
        <v>12</v>
      </c>
      <c r="E10">
        <v>6</v>
      </c>
      <c r="F10" s="11">
        <v>12</v>
      </c>
      <c r="G10" s="12">
        <v>0.05</v>
      </c>
      <c r="H10" s="11">
        <v>68.400000000000006</v>
      </c>
      <c r="I10" s="11">
        <v>11.2</v>
      </c>
    </row>
    <row r="11" spans="1:15" ht="18" customHeight="1" x14ac:dyDescent="0.35">
      <c r="A11" s="1">
        <v>110</v>
      </c>
      <c r="B11" s="2">
        <v>46047</v>
      </c>
      <c r="C11" t="s">
        <v>13</v>
      </c>
      <c r="D11" t="s">
        <v>10</v>
      </c>
      <c r="E11">
        <v>3</v>
      </c>
      <c r="F11" s="11">
        <v>40</v>
      </c>
      <c r="G11" s="12">
        <v>0.1</v>
      </c>
      <c r="H11" s="11">
        <v>108</v>
      </c>
      <c r="I11" s="11">
        <v>26</v>
      </c>
    </row>
  </sheetData>
  <conditionalFormatting sqref="K8:N8">
    <cfRule type="containsText" dxfId="0" priority="2" operator="containsText" text="How much revenue came strictly from electronic">
      <formula>NOT(ISERROR(SEARCH("How much revenue came strictly from electronic",K8)))</formula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{29034274-45D0-412F-8C63-675ECAA324E4}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034274-45D0-412F-8C63-675ECAA324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K8:N8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Toba Agunbiade</cp:lastModifiedBy>
  <dcterms:created xsi:type="dcterms:W3CDTF">2026-10-22T17:43:38Z</dcterms:created>
  <dcterms:modified xsi:type="dcterms:W3CDTF">2026-10-23T15:49:52Z</dcterms:modified>
</cp:coreProperties>
</file>